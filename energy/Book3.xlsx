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Master /intern/energy/"/>
    </mc:Choice>
  </mc:AlternateContent>
  <xr:revisionPtr revIDLastSave="0" documentId="13_ncr:1_{AB9CBE96-F79A-C34B-B2D4-F1589A35FABE}" xr6:coauthVersionLast="47" xr6:coauthVersionMax="47" xr10:uidLastSave="{00000000-0000-0000-0000-000000000000}"/>
  <bookViews>
    <workbookView xWindow="0" yWindow="0" windowWidth="25600" windowHeight="16000" xr2:uid="{63D7334C-D231-B046-955A-A404133F0D0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G4" i="1"/>
  <c r="H4" i="1" s="1"/>
  <c r="G5" i="1"/>
  <c r="H5" i="1" s="1"/>
  <c r="G6" i="1"/>
  <c r="H6" i="1" s="1"/>
  <c r="G7" i="1"/>
  <c r="H7" i="1" s="1"/>
  <c r="G8" i="1"/>
  <c r="G9" i="1"/>
  <c r="G10" i="1"/>
  <c r="H10" i="1" s="1"/>
  <c r="G11" i="1"/>
  <c r="H11" i="1" s="1"/>
  <c r="G12" i="1"/>
  <c r="H12" i="1" s="1"/>
  <c r="G13" i="1"/>
  <c r="G14" i="1"/>
  <c r="H14" i="1" s="1"/>
  <c r="G15" i="1"/>
  <c r="H15" i="1" s="1"/>
  <c r="G16" i="1"/>
  <c r="G17" i="1"/>
  <c r="G18" i="1"/>
  <c r="H18" i="1" s="1"/>
  <c r="G19" i="1"/>
  <c r="H19" i="1" s="1"/>
  <c r="G20" i="1"/>
  <c r="H20" i="1" s="1"/>
  <c r="G21" i="1"/>
  <c r="G22" i="1"/>
  <c r="H22" i="1" s="1"/>
  <c r="G23" i="1"/>
  <c r="H23" i="1" s="1"/>
  <c r="G24" i="1"/>
  <c r="G25" i="1"/>
  <c r="G26" i="1"/>
  <c r="H26" i="1" s="1"/>
  <c r="G27" i="1"/>
  <c r="H27" i="1" s="1"/>
  <c r="G28" i="1"/>
  <c r="H28" i="1" s="1"/>
  <c r="G29" i="1"/>
  <c r="G30" i="1"/>
  <c r="H30" i="1" s="1"/>
  <c r="G31" i="1"/>
  <c r="H31" i="1" s="1"/>
  <c r="G32" i="1"/>
  <c r="G33" i="1"/>
  <c r="G34" i="1"/>
  <c r="H34" i="1" s="1"/>
  <c r="G35" i="1"/>
  <c r="H35" i="1" s="1"/>
  <c r="G2" i="1"/>
  <c r="H2" i="1" s="1"/>
  <c r="G3" i="1"/>
  <c r="H3" i="1"/>
  <c r="H8" i="1"/>
  <c r="H9" i="1"/>
  <c r="H13" i="1"/>
  <c r="H16" i="1"/>
  <c r="H17" i="1"/>
  <c r="H21" i="1"/>
  <c r="H24" i="1"/>
  <c r="H25" i="1"/>
  <c r="H29" i="1"/>
  <c r="H32" i="1"/>
  <c r="H33" i="1"/>
</calcChain>
</file>

<file path=xl/sharedStrings.xml><?xml version="1.0" encoding="utf-8"?>
<sst xmlns="http://schemas.openxmlformats.org/spreadsheetml/2006/main" count="77" uniqueCount="77">
  <si>
    <t>AL</t>
  </si>
  <si>
    <t>AT</t>
  </si>
  <si>
    <t>BA</t>
  </si>
  <si>
    <t>BE</t>
  </si>
  <si>
    <t>BG</t>
  </si>
  <si>
    <t>CH</t>
  </si>
  <si>
    <t>CZ</t>
  </si>
  <si>
    <t>DE</t>
  </si>
  <si>
    <t>DK</t>
  </si>
  <si>
    <t>EE</t>
  </si>
  <si>
    <t>ES</t>
  </si>
  <si>
    <t>FI</t>
  </si>
  <si>
    <t>FR</t>
  </si>
  <si>
    <t>GE</t>
  </si>
  <si>
    <t>GR</t>
  </si>
  <si>
    <t>HR</t>
  </si>
  <si>
    <t>HU</t>
  </si>
  <si>
    <t>IT</t>
  </si>
  <si>
    <t>LT</t>
  </si>
  <si>
    <t>LU</t>
  </si>
  <si>
    <t>LV</t>
  </si>
  <si>
    <t>MK</t>
  </si>
  <si>
    <t>NL</t>
  </si>
  <si>
    <t>NO</t>
  </si>
  <si>
    <t>PL</t>
  </si>
  <si>
    <t>PT</t>
  </si>
  <si>
    <t>RO</t>
  </si>
  <si>
    <t>RS</t>
  </si>
  <si>
    <t>SE</t>
  </si>
  <si>
    <t>SI</t>
  </si>
  <si>
    <t>Production</t>
  </si>
  <si>
    <t xml:space="preserve">export </t>
  </si>
  <si>
    <t>import</t>
  </si>
  <si>
    <t>population</t>
  </si>
  <si>
    <t>IE</t>
  </si>
  <si>
    <t>ME</t>
  </si>
  <si>
    <t>XK</t>
  </si>
  <si>
    <t>SK</t>
  </si>
  <si>
    <t>Country code</t>
  </si>
  <si>
    <t>country name</t>
  </si>
  <si>
    <t>Albania</t>
  </si>
  <si>
    <t>Austria</t>
  </si>
  <si>
    <t>Bosnia and Herzegovina</t>
  </si>
  <si>
    <t>Belgium</t>
  </si>
  <si>
    <t>Bulgaria</t>
  </si>
  <si>
    <t>Switzerland</t>
  </si>
  <si>
    <t>Czechia (Czech Republic)</t>
  </si>
  <si>
    <t>Germany</t>
  </si>
  <si>
    <t>Denmark</t>
  </si>
  <si>
    <t>Estonia</t>
  </si>
  <si>
    <t>Spain</t>
  </si>
  <si>
    <t>Finland</t>
  </si>
  <si>
    <t>France</t>
  </si>
  <si>
    <t>Georgia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</si>
  <si>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</si>
  <si>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</si>
  <si>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</si>
  <si>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</si>
  <si>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</si>
  <si>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</si>
  <si>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</si>
  <si>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</si>
  <si>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Montenegro</t>
  </si>
  <si>
    <t>North Macedonia</t>
  </si>
  <si>
    <t>Netherlands</t>
  </si>
  <si>
    <t>Norway</t>
  </si>
  <si>
    <t>Poland</t>
  </si>
  <si>
    <t>Portugal</t>
  </si>
  <si>
    <t>Romania</t>
  </si>
  <si>
    <t>Serbia</t>
  </si>
  <si>
    <t>Sweden</t>
  </si>
  <si>
    <t>Slovenia</t>
  </si>
  <si>
    <t>Slovakia</t>
  </si>
  <si>
    <t>Kosovo</t>
  </si>
  <si>
    <t>Energy cons per capital</t>
  </si>
  <si>
    <t>Minimum cons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</si>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</sst>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81" formatCode="0.0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A8AC-61D2-E44A-8389-32EFDD269B00}">
  <dimension ref="A1:J35"/>
  <sheetViews>
    <sheetView tabSelected="1" workbookViewId="0">
      <selection activeCell="J1" sqref="J1"/>
    </sheetView>
  </sheetViews>
  <sheetFormatPr baseColWidth="10" defaultRowHeight="16" x14ac:dyDescent="0.2"/>
  <cols>
    <col min="3" max="3" width="11.6640625" bestFit="1" customWidth="1"/>
    <col min="6" max="6" width="11.6640625" bestFit="1" customWidth="1"/>
    <col min="8" max="8" width="20.1640625" bestFit="1" customWidth="1"/>
  </cols>
  <sheetData>
    <row r="1" spans="1:10" x14ac:dyDescent="0.2">
      <c r="A1" t="s">
        <v>39</v>
      </c>
      <c r="B1" t="s">
        <v>38</v>
      </c>
      <c r="C1" t="s">
        <v>30</v>
      </c>
      <c r="D1" t="s">
        <v>31</v>
      </c>
      <c r="E1" t="s">
        <v>32</v>
      </c>
      <c r="F1" t="s">
        <v>33</v>
      </c>
      <c r="H1" t="s">
        <v>74</v>
      </c>
      <c r="I1" t="s">
        <v>75</v>
      </c>
      <c r="J1" t="s">
        <v>76</v>
      </c>
    </row>
    <row r="2" spans="1:10" x14ac:dyDescent="0.2">
      <c r="A2" t="s">
        <v>40</v>
      </c>
      <c r="B2" t="s">
        <v>0</v>
      </c>
      <c r="C2" s="1">
        <v>0</v>
      </c>
      <c r="D2">
        <v>2155</v>
      </c>
      <c r="E2">
        <v>2159</v>
      </c>
      <c r="F2" s="2">
        <v>2377128</v>
      </c>
      <c r="G2" s="1">
        <f>((C2+E2)-D2)</f>
        <v>4</v>
      </c>
      <c r="H2" s="3">
        <f>G2/F2</f>
        <v>1.6827028245849612E-6</v>
      </c>
      <c r="I2">
        <v>3.0000000000000001E-3</v>
      </c>
      <c r="J2" s="3">
        <f>H2-I2</f>
        <v>-2.9983172971754153E-3</v>
      </c>
    </row>
    <row r="3" spans="1:10" x14ac:dyDescent="0.2">
      <c r="A3" t="s">
        <v>41</v>
      </c>
      <c r="B3" t="s">
        <v>1</v>
      </c>
      <c r="C3" s="1">
        <v>66146.820479999995</v>
      </c>
      <c r="D3">
        <v>18717</v>
      </c>
      <c r="E3">
        <v>13973</v>
      </c>
      <c r="F3" s="2">
        <v>9177982</v>
      </c>
      <c r="G3" s="1">
        <f>((C3+E3)-D3)</f>
        <v>61402.820479999995</v>
      </c>
      <c r="H3" s="3">
        <f>G3/F3</f>
        <v>6.6902310856569551E-3</v>
      </c>
      <c r="I3">
        <v>3.0000000000000001E-3</v>
      </c>
      <c r="J3" s="3">
        <f t="shared" ref="J3:J35" si="0">H3-I3</f>
        <v>3.690231085656955E-3</v>
      </c>
    </row>
    <row r="4" spans="1:10" x14ac:dyDescent="0.2">
      <c r="A4" t="s">
        <v>42</v>
      </c>
      <c r="B4" t="s">
        <v>2</v>
      </c>
      <c r="C4" s="1">
        <v>11081.235979999999</v>
      </c>
      <c r="D4">
        <v>5601</v>
      </c>
      <c r="E4">
        <v>3191</v>
      </c>
      <c r="F4" s="2">
        <v>3164253</v>
      </c>
      <c r="G4" s="1">
        <f>((C4+E4)-D4)</f>
        <v>8671.2359799999995</v>
      </c>
      <c r="H4" s="3">
        <f>G4/F4</f>
        <v>2.7403737880630909E-3</v>
      </c>
      <c r="I4">
        <v>3.0000000000000001E-3</v>
      </c>
      <c r="J4" s="3">
        <f t="shared" si="0"/>
        <v>-2.5962621193690921E-4</v>
      </c>
    </row>
    <row r="5" spans="1:10" x14ac:dyDescent="0.2">
      <c r="A5" t="s">
        <v>43</v>
      </c>
      <c r="B5" t="s">
        <v>3</v>
      </c>
      <c r="C5" s="1">
        <v>72487.311019999994</v>
      </c>
      <c r="D5">
        <v>14122</v>
      </c>
      <c r="E5">
        <v>24909</v>
      </c>
      <c r="F5" s="2">
        <v>11858610</v>
      </c>
      <c r="G5" s="1">
        <f>((C5+E5)-D5)</f>
        <v>83274.311019999994</v>
      </c>
      <c r="H5" s="3">
        <f>G5/F5</f>
        <v>7.0222657647059815E-3</v>
      </c>
      <c r="I5">
        <v>3.0000000000000001E-3</v>
      </c>
      <c r="J5" s="3">
        <f t="shared" si="0"/>
        <v>4.0222657647059814E-3</v>
      </c>
    </row>
    <row r="6" spans="1:10" x14ac:dyDescent="0.2">
      <c r="A6" t="s">
        <v>44</v>
      </c>
      <c r="B6" t="s">
        <v>4</v>
      </c>
      <c r="C6" s="1">
        <v>36703.454750000012</v>
      </c>
      <c r="D6">
        <v>6309</v>
      </c>
      <c r="E6">
        <v>5317</v>
      </c>
      <c r="F6" s="2">
        <v>6441421</v>
      </c>
      <c r="G6" s="1">
        <f>((C6+E6)-D6)</f>
        <v>35711.454750000012</v>
      </c>
      <c r="H6" s="3">
        <f>G6/F6</f>
        <v>5.5440336456815988E-3</v>
      </c>
      <c r="I6">
        <v>3.0000000000000001E-3</v>
      </c>
      <c r="J6" s="3">
        <f t="shared" si="0"/>
        <v>2.5440336456815987E-3</v>
      </c>
    </row>
    <row r="7" spans="1:10" x14ac:dyDescent="0.2">
      <c r="A7" t="s">
        <v>45</v>
      </c>
      <c r="B7" t="s">
        <v>5</v>
      </c>
      <c r="C7" s="1">
        <v>53190.40735999999</v>
      </c>
      <c r="D7">
        <v>31865</v>
      </c>
      <c r="E7">
        <v>19825</v>
      </c>
      <c r="F7" s="2">
        <v>9005582</v>
      </c>
      <c r="G7" s="1">
        <f>((C7+E7)-D7)</f>
        <v>41150.407359999983</v>
      </c>
      <c r="H7" s="3">
        <f>G7/F7</f>
        <v>4.5694334202942112E-3</v>
      </c>
      <c r="I7">
        <v>3.0000000000000001E-3</v>
      </c>
      <c r="J7" s="3">
        <f t="shared" si="0"/>
        <v>1.5694334202942112E-3</v>
      </c>
    </row>
    <row r="8" spans="1:10" x14ac:dyDescent="0.2">
      <c r="A8" t="s">
        <v>46</v>
      </c>
      <c r="B8" t="s">
        <v>6</v>
      </c>
      <c r="C8" s="1">
        <v>68737.579284999985</v>
      </c>
      <c r="D8">
        <v>18531</v>
      </c>
      <c r="E8">
        <v>12283</v>
      </c>
      <c r="F8" s="2">
        <v>10905028</v>
      </c>
      <c r="G8" s="1">
        <f>((C8+E8)-D8)</f>
        <v>62489.579284999985</v>
      </c>
      <c r="H8" s="3">
        <f>G8/F8</f>
        <v>5.7303456061735909E-3</v>
      </c>
      <c r="I8">
        <v>3.0000000000000001E-3</v>
      </c>
      <c r="J8" s="3">
        <f t="shared" si="0"/>
        <v>2.7303456061735908E-3</v>
      </c>
    </row>
    <row r="9" spans="1:10" x14ac:dyDescent="0.2">
      <c r="A9" t="s">
        <v>47</v>
      </c>
      <c r="B9" t="s">
        <v>7</v>
      </c>
      <c r="C9" s="1">
        <v>432845.16836750001</v>
      </c>
      <c r="D9">
        <v>40317</v>
      </c>
      <c r="E9">
        <v>65155</v>
      </c>
      <c r="F9" s="2">
        <v>83516593</v>
      </c>
      <c r="G9" s="1">
        <f>((C9+E9)-D9)</f>
        <v>457683.16836750001</v>
      </c>
      <c r="H9" s="3">
        <f>G9/F9</f>
        <v>5.480146542466118E-3</v>
      </c>
      <c r="I9">
        <v>3.0000000000000001E-3</v>
      </c>
      <c r="J9" s="3">
        <f t="shared" si="0"/>
        <v>2.4801465424661179E-3</v>
      </c>
    </row>
    <row r="10" spans="1:10" x14ac:dyDescent="0.2">
      <c r="A10" t="s">
        <v>48</v>
      </c>
      <c r="B10" t="s">
        <v>8</v>
      </c>
      <c r="C10" s="1">
        <v>34476.046450000016</v>
      </c>
      <c r="D10">
        <v>20487</v>
      </c>
      <c r="E10">
        <v>24293</v>
      </c>
      <c r="F10" s="2">
        <v>5976992</v>
      </c>
      <c r="G10" s="1">
        <f>((C10+E10)-D10)</f>
        <v>38282.046450000016</v>
      </c>
      <c r="H10" s="3">
        <f>G10/F10</f>
        <v>6.4049017381987488E-3</v>
      </c>
      <c r="I10">
        <v>3.0000000000000001E-3</v>
      </c>
      <c r="J10" s="3">
        <f t="shared" si="0"/>
        <v>3.4049017381987488E-3</v>
      </c>
    </row>
    <row r="11" spans="1:10" x14ac:dyDescent="0.2">
      <c r="A11" t="s">
        <v>49</v>
      </c>
      <c r="B11" t="s">
        <v>9</v>
      </c>
      <c r="C11" s="1">
        <v>4917.7313399999985</v>
      </c>
      <c r="D11">
        <v>2337</v>
      </c>
      <c r="E11">
        <v>5242</v>
      </c>
      <c r="F11" s="2">
        <v>1372341</v>
      </c>
      <c r="G11" s="1">
        <f>((C11+E11)-D11)</f>
        <v>7822.7313399999985</v>
      </c>
      <c r="H11" s="3">
        <f>G11/F11</f>
        <v>5.7002824662383466E-3</v>
      </c>
      <c r="I11">
        <v>3.0000000000000001E-3</v>
      </c>
      <c r="J11" s="3">
        <f t="shared" si="0"/>
        <v>2.7002824662383466E-3</v>
      </c>
    </row>
    <row r="12" spans="1:10" x14ac:dyDescent="0.2">
      <c r="A12" t="s">
        <v>50</v>
      </c>
      <c r="B12" t="s">
        <v>10</v>
      </c>
      <c r="C12" s="1">
        <v>250365.58499999993</v>
      </c>
      <c r="D12">
        <v>19272</v>
      </c>
      <c r="E12">
        <v>11721</v>
      </c>
      <c r="F12" s="2">
        <v>48848840</v>
      </c>
      <c r="G12" s="1">
        <f>((C12+E12)-D12)</f>
        <v>242814.58499999993</v>
      </c>
      <c r="H12" s="3">
        <f>G12/F12</f>
        <v>4.9707339007435984E-3</v>
      </c>
      <c r="I12">
        <v>3.0000000000000001E-3</v>
      </c>
      <c r="J12" s="3">
        <f t="shared" si="0"/>
        <v>1.9707339007435983E-3</v>
      </c>
    </row>
    <row r="13" spans="1:10" x14ac:dyDescent="0.2">
      <c r="A13" t="s">
        <v>51</v>
      </c>
      <c r="B13" t="s">
        <v>11</v>
      </c>
      <c r="C13" s="1">
        <v>77633.226827499981</v>
      </c>
      <c r="D13">
        <v>5438</v>
      </c>
      <c r="E13">
        <v>8623</v>
      </c>
      <c r="F13" s="2">
        <v>5619911</v>
      </c>
      <c r="G13" s="1">
        <f>((C13+E13)-D13)</f>
        <v>80818.226827499981</v>
      </c>
      <c r="H13" s="3">
        <f>G13/F13</f>
        <v>1.4380695144015623E-2</v>
      </c>
      <c r="I13">
        <v>3.0000000000000001E-3</v>
      </c>
      <c r="J13" s="3">
        <f t="shared" si="0"/>
        <v>1.1380695144015622E-2</v>
      </c>
    </row>
    <row r="14" spans="1:10" x14ac:dyDescent="0.2">
      <c r="A14" t="s">
        <v>52</v>
      </c>
      <c r="B14" t="s">
        <v>12</v>
      </c>
      <c r="C14" s="1">
        <v>523658.05871500005</v>
      </c>
      <c r="D14">
        <v>97626</v>
      </c>
      <c r="E14">
        <v>10308</v>
      </c>
      <c r="F14" s="2">
        <v>68551653</v>
      </c>
      <c r="G14" s="1">
        <f>((C14+E14)-D14)</f>
        <v>436340.05871500005</v>
      </c>
      <c r="H14" s="3">
        <f>G14/F14</f>
        <v>6.3651281861139084E-3</v>
      </c>
      <c r="I14">
        <v>3.0000000000000001E-3</v>
      </c>
      <c r="J14" s="3">
        <f t="shared" si="0"/>
        <v>3.3651281861139084E-3</v>
      </c>
    </row>
    <row r="15" spans="1:10" x14ac:dyDescent="0.2">
      <c r="A15" t="s">
        <v>53</v>
      </c>
      <c r="B15" t="s">
        <v>13</v>
      </c>
      <c r="C15" s="1">
        <v>12350.833369999993</v>
      </c>
      <c r="D15">
        <v>1916</v>
      </c>
      <c r="E15">
        <v>2264</v>
      </c>
      <c r="F15" s="2">
        <v>3699557</v>
      </c>
      <c r="G15" s="1">
        <f>((C15+E15)-D15)</f>
        <v>12698.833369999993</v>
      </c>
      <c r="H15" s="3">
        <f>G15/F15</f>
        <v>3.4325281026890498E-3</v>
      </c>
      <c r="I15">
        <v>3.0000000000000001E-3</v>
      </c>
      <c r="J15" s="3">
        <f t="shared" si="0"/>
        <v>4.325281026890497E-4</v>
      </c>
    </row>
    <row r="16" spans="1:10" x14ac:dyDescent="0.2">
      <c r="A16" t="s">
        <v>54</v>
      </c>
      <c r="B16" t="s">
        <v>14</v>
      </c>
      <c r="C16" s="1">
        <v>50187.407000000007</v>
      </c>
      <c r="D16">
        <v>5736</v>
      </c>
      <c r="E16">
        <v>5587</v>
      </c>
      <c r="F16" s="2">
        <v>10405134</v>
      </c>
      <c r="G16" s="1">
        <f>((C16+E16)-D16)</f>
        <v>50038.407000000007</v>
      </c>
      <c r="H16" s="3">
        <f>G16/F16</f>
        <v>4.8090113015363386E-3</v>
      </c>
      <c r="I16">
        <v>3.0000000000000001E-3</v>
      </c>
      <c r="J16" s="3">
        <f t="shared" si="0"/>
        <v>1.8090113015363386E-3</v>
      </c>
    </row>
    <row r="17" spans="1:10" x14ac:dyDescent="0.2">
      <c r="A17" t="s">
        <v>55</v>
      </c>
      <c r="B17" t="s">
        <v>15</v>
      </c>
      <c r="C17" s="1">
        <v>13457.198000000002</v>
      </c>
      <c r="D17">
        <v>5140</v>
      </c>
      <c r="E17">
        <v>10199</v>
      </c>
      <c r="F17" s="2">
        <v>3866200</v>
      </c>
      <c r="G17" s="1">
        <f>((C17+E17)-D17)</f>
        <v>18516.198000000004</v>
      </c>
      <c r="H17" s="3">
        <f>G17/F17</f>
        <v>4.7892499094718335E-3</v>
      </c>
      <c r="I17">
        <v>3.0000000000000001E-3</v>
      </c>
      <c r="J17" s="3">
        <f t="shared" si="0"/>
        <v>1.7892499094718335E-3</v>
      </c>
    </row>
    <row r="18" spans="1:10" x14ac:dyDescent="0.2">
      <c r="A18" t="s">
        <v>56</v>
      </c>
      <c r="B18" t="s">
        <v>16</v>
      </c>
      <c r="C18" s="1">
        <v>32322.685705000011</v>
      </c>
      <c r="D18">
        <v>10598</v>
      </c>
      <c r="E18">
        <v>21452</v>
      </c>
      <c r="F18" s="2">
        <v>9562065</v>
      </c>
      <c r="G18" s="1">
        <f>((C18+E18)-D18)</f>
        <v>43176.685705000011</v>
      </c>
      <c r="H18" s="3">
        <f>G18/F18</f>
        <v>4.5154143696994331E-3</v>
      </c>
      <c r="I18">
        <v>3.0000000000000001E-3</v>
      </c>
      <c r="J18" s="3">
        <f t="shared" si="0"/>
        <v>1.515414369699433E-3</v>
      </c>
    </row>
    <row r="19" spans="1:10" x14ac:dyDescent="0.2">
      <c r="A19" t="s">
        <v>57</v>
      </c>
      <c r="B19" t="s">
        <v>34</v>
      </c>
      <c r="C19" s="1">
        <v>18013.003125000003</v>
      </c>
      <c r="D19">
        <v>131</v>
      </c>
      <c r="E19">
        <v>2719</v>
      </c>
      <c r="F19" s="2">
        <v>5395790</v>
      </c>
      <c r="G19" s="1">
        <f>((C19+E19)-D19)</f>
        <v>20601.003125000003</v>
      </c>
      <c r="H19" s="3">
        <f>G19/F19</f>
        <v>3.8179771868438175E-3</v>
      </c>
      <c r="I19">
        <v>3.0000000000000001E-3</v>
      </c>
      <c r="J19" s="3">
        <f t="shared" si="0"/>
        <v>8.1797718684381744E-4</v>
      </c>
    </row>
    <row r="20" spans="1:10" x14ac:dyDescent="0.2">
      <c r="A20" t="s">
        <v>58</v>
      </c>
      <c r="B20" t="s">
        <v>17</v>
      </c>
      <c r="C20" s="1">
        <v>232457.56124999994</v>
      </c>
      <c r="D20">
        <v>3176</v>
      </c>
      <c r="E20">
        <v>52879</v>
      </c>
      <c r="F20" s="2">
        <v>58952704</v>
      </c>
      <c r="G20" s="1">
        <f>((C20+E20)-D20)</f>
        <v>282160.56124999991</v>
      </c>
      <c r="H20" s="3">
        <f>G20/F20</f>
        <v>4.7862191571399326E-3</v>
      </c>
      <c r="I20">
        <v>3.0000000000000001E-3</v>
      </c>
      <c r="J20" s="3">
        <f t="shared" si="0"/>
        <v>1.7862191571399325E-3</v>
      </c>
    </row>
    <row r="21" spans="1:10" x14ac:dyDescent="0.2">
      <c r="A21" t="s">
        <v>59</v>
      </c>
      <c r="B21" t="s">
        <v>18</v>
      </c>
      <c r="C21" s="1">
        <v>7639.0748725000003</v>
      </c>
      <c r="D21">
        <v>2498</v>
      </c>
      <c r="E21">
        <v>8237</v>
      </c>
      <c r="F21" s="2">
        <v>2888278</v>
      </c>
      <c r="G21" s="1">
        <f>((C21+E21)-D21)</f>
        <v>13378.074872500001</v>
      </c>
      <c r="H21" s="3">
        <f>G21/F21</f>
        <v>4.6318515297003966E-3</v>
      </c>
      <c r="I21">
        <v>3.0000000000000001E-3</v>
      </c>
      <c r="J21" s="3">
        <f t="shared" si="0"/>
        <v>1.6318515297003965E-3</v>
      </c>
    </row>
    <row r="22" spans="1:10" x14ac:dyDescent="0.2">
      <c r="A22" t="s">
        <v>60</v>
      </c>
      <c r="B22" t="s">
        <v>19</v>
      </c>
      <c r="C22" s="1">
        <v>1281.0222949999995</v>
      </c>
      <c r="D22">
        <v>79</v>
      </c>
      <c r="E22">
        <v>3695</v>
      </c>
      <c r="F22" s="2">
        <v>677012</v>
      </c>
      <c r="G22" s="1">
        <f>((C22+E22)-D22)</f>
        <v>4897.0222949999998</v>
      </c>
      <c r="H22" s="3">
        <f>G22/F22</f>
        <v>7.2332872903286792E-3</v>
      </c>
      <c r="I22">
        <v>3.0000000000000001E-3</v>
      </c>
      <c r="J22" s="3">
        <f t="shared" si="0"/>
        <v>4.2332872903286791E-3</v>
      </c>
    </row>
    <row r="23" spans="1:10" x14ac:dyDescent="0.2">
      <c r="A23" t="s">
        <v>61</v>
      </c>
      <c r="B23" t="s">
        <v>20</v>
      </c>
      <c r="C23" s="1">
        <v>5903.4190199999975</v>
      </c>
      <c r="D23">
        <v>1835</v>
      </c>
      <c r="E23">
        <v>2902</v>
      </c>
      <c r="F23" s="2">
        <v>1866124</v>
      </c>
      <c r="G23" s="1">
        <f>((C23+E23)-D23)</f>
        <v>6970.4190199999975</v>
      </c>
      <c r="H23" s="3">
        <f>G23/F23</f>
        <v>3.7352389337471665E-3</v>
      </c>
      <c r="I23">
        <v>3.0000000000000001E-3</v>
      </c>
      <c r="J23" s="3">
        <f t="shared" si="0"/>
        <v>7.3523893374716643E-4</v>
      </c>
    </row>
    <row r="24" spans="1:10" x14ac:dyDescent="0.2">
      <c r="A24" t="s">
        <v>62</v>
      </c>
      <c r="B24" t="s">
        <v>35</v>
      </c>
      <c r="C24" s="1">
        <v>3228.6932500000003</v>
      </c>
      <c r="D24">
        <v>5840</v>
      </c>
      <c r="E24">
        <v>5957</v>
      </c>
      <c r="F24" s="2">
        <v>623525</v>
      </c>
      <c r="G24" s="1">
        <f>((C24+E24)-D24)</f>
        <v>3345.6932500000003</v>
      </c>
      <c r="H24" s="3">
        <f>G24/F24</f>
        <v>5.3657724229180873E-3</v>
      </c>
      <c r="I24">
        <v>3.0000000000000001E-3</v>
      </c>
      <c r="J24" s="3">
        <f t="shared" si="0"/>
        <v>2.3657724229180872E-3</v>
      </c>
    </row>
    <row r="25" spans="1:10" x14ac:dyDescent="0.2">
      <c r="A25" t="s">
        <v>63</v>
      </c>
      <c r="B25" t="s">
        <v>21</v>
      </c>
      <c r="C25" s="1">
        <v>4314.7556500000001</v>
      </c>
      <c r="D25">
        <v>3200</v>
      </c>
      <c r="E25">
        <v>3421</v>
      </c>
      <c r="F25" s="2">
        <v>1824359</v>
      </c>
      <c r="G25" s="1">
        <f>((C25+E25)-D25)</f>
        <v>4535.7556500000001</v>
      </c>
      <c r="H25" s="3">
        <f>G25/F25</f>
        <v>2.4862188034262996E-3</v>
      </c>
      <c r="I25">
        <v>3.0000000000000001E-3</v>
      </c>
      <c r="J25" s="3">
        <f t="shared" si="0"/>
        <v>-5.1378119657370051E-4</v>
      </c>
    </row>
    <row r="26" spans="1:10" x14ac:dyDescent="0.2">
      <c r="A26" t="s">
        <v>64</v>
      </c>
      <c r="B26" t="s">
        <v>22</v>
      </c>
      <c r="C26" s="1">
        <v>106217.75482999996</v>
      </c>
      <c r="D26">
        <v>19166</v>
      </c>
      <c r="E26">
        <v>14985</v>
      </c>
      <c r="F26" s="2">
        <v>17993485</v>
      </c>
      <c r="G26" s="1">
        <f>((C26+E26)-D26)</f>
        <v>102036.75482999996</v>
      </c>
      <c r="H26" s="3">
        <f>G26/F26</f>
        <v>5.670761102143357E-3</v>
      </c>
      <c r="I26">
        <v>3.0000000000000001E-3</v>
      </c>
      <c r="J26" s="3">
        <f t="shared" si="0"/>
        <v>2.6707611021433569E-3</v>
      </c>
    </row>
    <row r="27" spans="1:10" x14ac:dyDescent="0.2">
      <c r="A27" t="s">
        <v>65</v>
      </c>
      <c r="B27" t="s">
        <v>23</v>
      </c>
      <c r="C27" s="1">
        <v>155421.41108999998</v>
      </c>
      <c r="D27">
        <v>31304</v>
      </c>
      <c r="E27">
        <v>13416</v>
      </c>
      <c r="F27" s="2">
        <v>5572279</v>
      </c>
      <c r="G27" s="1">
        <f>((C27+E27)-D27)</f>
        <v>137533.41108999998</v>
      </c>
      <c r="H27" s="3">
        <f>G27/F27</f>
        <v>2.4681716599258576E-2</v>
      </c>
      <c r="I27">
        <v>3.0000000000000001E-3</v>
      </c>
      <c r="J27" s="3">
        <f t="shared" si="0"/>
        <v>2.1681716599258577E-2</v>
      </c>
    </row>
    <row r="28" spans="1:10" x14ac:dyDescent="0.2">
      <c r="A28" t="s">
        <v>66</v>
      </c>
      <c r="B28" t="s">
        <v>24</v>
      </c>
      <c r="C28" s="1">
        <v>158564.01271249997</v>
      </c>
      <c r="D28">
        <v>12153</v>
      </c>
      <c r="E28">
        <v>14052</v>
      </c>
      <c r="F28" s="2">
        <v>36559233</v>
      </c>
      <c r="G28" s="1">
        <f>((C28+E28)-D28)</f>
        <v>160463.01271249997</v>
      </c>
      <c r="H28" s="3">
        <f>G28/F28</f>
        <v>4.3891241567485832E-3</v>
      </c>
      <c r="I28">
        <v>3.0000000000000001E-3</v>
      </c>
      <c r="J28" s="3">
        <f t="shared" si="0"/>
        <v>1.3891241567485831E-3</v>
      </c>
    </row>
    <row r="29" spans="1:10" x14ac:dyDescent="0.2">
      <c r="A29" t="s">
        <v>67</v>
      </c>
      <c r="B29" t="s">
        <v>25</v>
      </c>
      <c r="C29" s="1">
        <v>45788.060699999995</v>
      </c>
      <c r="D29">
        <v>2559</v>
      </c>
      <c r="E29">
        <v>13051</v>
      </c>
      <c r="F29" s="2">
        <v>10694681</v>
      </c>
      <c r="G29" s="1">
        <f>((C29+E29)-D29)</f>
        <v>56280.060699999995</v>
      </c>
      <c r="H29" s="3">
        <f>G29/F29</f>
        <v>5.2624347280671576E-3</v>
      </c>
      <c r="I29">
        <v>3.0000000000000001E-3</v>
      </c>
      <c r="J29" s="3">
        <f t="shared" si="0"/>
        <v>2.2624347280671576E-3</v>
      </c>
    </row>
    <row r="30" spans="1:10" x14ac:dyDescent="0.2">
      <c r="A30" t="s">
        <v>68</v>
      </c>
      <c r="B30" t="s">
        <v>26</v>
      </c>
      <c r="C30" s="1">
        <v>51150.81025000001</v>
      </c>
      <c r="D30">
        <v>6110</v>
      </c>
      <c r="E30">
        <v>8939</v>
      </c>
      <c r="F30" s="2">
        <v>19051804</v>
      </c>
      <c r="G30" s="1">
        <f>((C30+E30)-D30)</f>
        <v>53979.81025000001</v>
      </c>
      <c r="H30" s="3">
        <f>G30/F30</f>
        <v>2.8333175299304993E-3</v>
      </c>
      <c r="I30">
        <v>3.0000000000000001E-3</v>
      </c>
      <c r="J30" s="3">
        <f t="shared" si="0"/>
        <v>-1.6668247006950071E-4</v>
      </c>
    </row>
    <row r="31" spans="1:10" x14ac:dyDescent="0.2">
      <c r="A31" t="s">
        <v>69</v>
      </c>
      <c r="B31" t="s">
        <v>27</v>
      </c>
      <c r="C31" s="1">
        <v>34665.212680000033</v>
      </c>
      <c r="D31">
        <v>5835</v>
      </c>
      <c r="E31">
        <v>6825</v>
      </c>
      <c r="F31" s="2">
        <v>6586476</v>
      </c>
      <c r="G31" s="1">
        <f>((C31+E31)-D31)</f>
        <v>35655.212680000033</v>
      </c>
      <c r="H31" s="3">
        <f>G31/F31</f>
        <v>5.413397495109681E-3</v>
      </c>
      <c r="I31">
        <v>3.0000000000000001E-3</v>
      </c>
      <c r="J31" s="3">
        <f t="shared" si="0"/>
        <v>2.413397495109681E-3</v>
      </c>
    </row>
    <row r="32" spans="1:10" x14ac:dyDescent="0.2">
      <c r="A32" t="s">
        <v>70</v>
      </c>
      <c r="B32" t="s">
        <v>28</v>
      </c>
      <c r="C32" s="1">
        <v>161581.46706999998</v>
      </c>
      <c r="D32">
        <v>39154</v>
      </c>
      <c r="E32">
        <v>5595</v>
      </c>
      <c r="F32" s="2">
        <v>10569709</v>
      </c>
      <c r="G32" s="1">
        <f>((C32+E32)-D32)</f>
        <v>128022.46706999998</v>
      </c>
      <c r="H32" s="3">
        <f>G32/F32</f>
        <v>1.2112203568707519E-2</v>
      </c>
      <c r="I32">
        <v>3.0000000000000001E-3</v>
      </c>
      <c r="J32" s="3">
        <f t="shared" si="0"/>
        <v>9.1122035687075179E-3</v>
      </c>
    </row>
    <row r="33" spans="1:10" x14ac:dyDescent="0.2">
      <c r="A33" t="s">
        <v>71</v>
      </c>
      <c r="B33" t="s">
        <v>29</v>
      </c>
      <c r="C33" s="1">
        <v>15270.693929999996</v>
      </c>
      <c r="D33">
        <v>10753</v>
      </c>
      <c r="E33">
        <v>8333</v>
      </c>
      <c r="F33" s="2">
        <v>2127400</v>
      </c>
      <c r="G33" s="1">
        <f>((C33+E33)-D33)</f>
        <v>12850.693929999994</v>
      </c>
      <c r="H33" s="3">
        <f>G33/F33</f>
        <v>6.0405630957976846E-3</v>
      </c>
      <c r="I33">
        <v>3.0000000000000001E-3</v>
      </c>
      <c r="J33" s="3">
        <f t="shared" si="0"/>
        <v>3.0405630957976845E-3</v>
      </c>
    </row>
    <row r="34" spans="1:10" x14ac:dyDescent="0.2">
      <c r="A34" t="s">
        <v>72</v>
      </c>
      <c r="B34" t="s">
        <v>37</v>
      </c>
      <c r="C34" s="1">
        <v>29462.441599999998</v>
      </c>
      <c r="D34">
        <v>16773</v>
      </c>
      <c r="E34">
        <v>13614</v>
      </c>
      <c r="F34" s="2">
        <v>5422069</v>
      </c>
      <c r="G34" s="1">
        <f>((C34+E34)-D34)</f>
        <v>26303.441599999998</v>
      </c>
      <c r="H34" s="3">
        <f>G34/F34</f>
        <v>4.8511816430222478E-3</v>
      </c>
      <c r="I34">
        <v>3.0000000000000001E-3</v>
      </c>
      <c r="J34" s="3">
        <f t="shared" si="0"/>
        <v>1.8511816430222478E-3</v>
      </c>
    </row>
    <row r="35" spans="1:10" x14ac:dyDescent="0.2">
      <c r="A35" t="s">
        <v>73</v>
      </c>
      <c r="B35" t="s">
        <v>36</v>
      </c>
      <c r="C35" s="1">
        <v>5639.6800899999998</v>
      </c>
      <c r="D35">
        <v>2365</v>
      </c>
      <c r="E35">
        <v>2922</v>
      </c>
      <c r="F35" s="2">
        <v>1588566</v>
      </c>
      <c r="G35" s="1">
        <f>((C35+E35)-D35)</f>
        <v>6196.6800899999998</v>
      </c>
      <c r="H35" s="3">
        <f>G35/F35</f>
        <v>3.9008011565147432E-3</v>
      </c>
      <c r="I35">
        <v>3.0000000000000001E-3</v>
      </c>
      <c r="J35" s="3">
        <f t="shared" si="0"/>
        <v>9.0080115651474313E-4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2026-07-19T10:56:01Z</dcterms:created>
  <dcterms:modified xsi:type="dcterms:W3CDTF">2026-07-19T13:30:24Z</dcterms:modified>
</cp:coreProperties>
</file>